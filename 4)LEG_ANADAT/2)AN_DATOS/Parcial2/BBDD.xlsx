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H5" i="1" l="1"/>
  <c r="C10" i="1"/>
  <c r="C19" i="1" l="1"/>
  <c r="C18" i="1"/>
  <c r="C17" i="1"/>
  <c r="C16" i="1"/>
  <c r="C15" i="1"/>
  <c r="C14" i="1"/>
  <c r="C13" i="1"/>
  <c r="C12" i="1"/>
  <c r="C11" i="1"/>
  <c r="J7" i="1" l="1"/>
  <c r="M15" i="1"/>
  <c r="M7" i="1"/>
  <c r="N7" i="1" s="1"/>
  <c r="M5" i="1"/>
  <c r="N5" i="1" s="1"/>
  <c r="M13" i="1"/>
  <c r="N13" i="1" s="1"/>
  <c r="J6" i="1"/>
  <c r="M14" i="1"/>
  <c r="N14" i="1" s="1"/>
  <c r="M6" i="1"/>
  <c r="N6" i="1" s="1"/>
  <c r="J5" i="1"/>
  <c r="O7" i="1" l="1"/>
  <c r="P7" i="1" s="1"/>
  <c r="Q7" i="1" s="1"/>
  <c r="N15" i="1"/>
  <c r="O5" i="1"/>
  <c r="O13" i="1"/>
  <c r="P13" i="1" s="1"/>
  <c r="O6" i="1"/>
  <c r="O14" i="1"/>
  <c r="P14" i="1" s="1"/>
  <c r="Q14" i="1" s="1"/>
  <c r="R14" i="1" l="1"/>
  <c r="S14" i="1" s="1"/>
  <c r="R7" i="1"/>
  <c r="O15" i="1"/>
  <c r="Q13" i="1"/>
  <c r="P5" i="1"/>
  <c r="Q5" i="1" s="1"/>
  <c r="P6" i="1"/>
  <c r="T14" i="1" l="1"/>
  <c r="P15" i="1"/>
  <c r="Q15" i="1" s="1"/>
  <c r="R13" i="1"/>
  <c r="R5" i="1"/>
  <c r="Q6" i="1"/>
  <c r="R6" i="1" s="1"/>
  <c r="U14" i="1" l="1"/>
  <c r="V14" i="1" s="1"/>
  <c r="R15" i="1"/>
  <c r="S13" i="1"/>
  <c r="W14" i="1" l="1"/>
  <c r="S15" i="1"/>
  <c r="T15" i="1" s="1"/>
  <c r="T13" i="1"/>
  <c r="U13" i="1" s="1"/>
  <c r="X14" i="1" l="1"/>
  <c r="U15" i="1"/>
  <c r="V15" i="1" s="1"/>
  <c r="V13" i="1"/>
  <c r="W13" i="1" s="1"/>
  <c r="X13" i="1" s="1"/>
  <c r="Y14" i="1" l="1"/>
  <c r="Z14" i="1" s="1"/>
  <c r="W15" i="1"/>
  <c r="X15" i="1" s="1"/>
  <c r="Y15" i="1" s="1"/>
  <c r="Z15" i="1" s="1"/>
  <c r="Y13" i="1"/>
  <c r="Z13" i="1" s="1"/>
</calcChain>
</file>

<file path=xl/sharedStrings.xml><?xml version="1.0" encoding="utf-8"?>
<sst xmlns="http://schemas.openxmlformats.org/spreadsheetml/2006/main" count="31" uniqueCount="25">
  <si>
    <t>TNA 1</t>
  </si>
  <si>
    <t>TNA 2</t>
  </si>
  <si>
    <t>TNA 3</t>
  </si>
  <si>
    <t>BBDD</t>
  </si>
  <si>
    <t>Promedio</t>
  </si>
  <si>
    <t>Maximo</t>
  </si>
  <si>
    <t>Monto</t>
  </si>
  <si>
    <t>Rendimiento</t>
  </si>
  <si>
    <t>TASA TRIMESTRAL</t>
  </si>
  <si>
    <t>TASA MENSUAL</t>
  </si>
  <si>
    <t>interes comp. 1</t>
  </si>
  <si>
    <t>interes comp. 2</t>
  </si>
  <si>
    <t>interes comp. 3</t>
  </si>
  <si>
    <t>interes comp. 4</t>
  </si>
  <si>
    <t>interes comp. 5</t>
  </si>
  <si>
    <t>interes comp. 6</t>
  </si>
  <si>
    <t>interes comp. 7</t>
  </si>
  <si>
    <t>interes comp. 8</t>
  </si>
  <si>
    <t>interes comp. 9</t>
  </si>
  <si>
    <t>interes comp. 10</t>
  </si>
  <si>
    <t>interes comp. 11</t>
  </si>
  <si>
    <t>interes comp. 12</t>
  </si>
  <si>
    <t>Provincia</t>
  </si>
  <si>
    <t>Nacion</t>
  </si>
  <si>
    <t>Hipotecario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</si>
</sst>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2" fontId="0" fillId="0" borderId="1" xfId="0" applyNumberFormat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Border="1"/>
    <xf numFmtId="0" fontId="0" fillId="3" borderId="1" xfId="0" applyFill="1" applyBorder="1"/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20</xdr:row>
      <xdr:rowOff>66675</xdr:rowOff>
    </xdr:from>
    <xdr:to>
      <xdr:col>19</xdr:col>
      <xdr:colOff>535311</xdr:colOff>
      <xdr:row>49</xdr:row>
      <xdr:rowOff>86499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876675"/>
          <a:ext cx="13689336" cy="5544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9"/>
  <sheetViews>
    <sheetView tabSelected="1" workbookViewId="0">
      <selection activeCell="T73" sqref="T73"/>
    </sheetView>
  </sheetViews>
  <sheetFormatPr baseColWidth="10" defaultColWidth="9.140625" defaultRowHeight="15" x14ac:dyDescent="0.25"/>
  <cols>
    <col min="2" max="2" width="14.85546875" bestFit="1" customWidth="1"/>
    <col min="3" max="3" width="12.85546875" bestFit="1" customWidth="1"/>
    <col min="4" max="4" width="17.140625" bestFit="1" customWidth="1"/>
    <col min="5" max="5" width="2.28515625" customWidth="1"/>
    <col min="7" max="7" width="1.7109375" customWidth="1"/>
    <col min="9" max="9" width="2" customWidth="1"/>
    <col min="10" max="10" width="12.5703125" bestFit="1" customWidth="1"/>
    <col min="12" max="12" width="2.28515625" customWidth="1"/>
    <col min="13" max="13" width="16.42578125" customWidth="1"/>
    <col min="14" max="17" width="14.5703125" bestFit="1" customWidth="1"/>
    <col min="18" max="18" width="13.7109375" bestFit="1" customWidth="1"/>
    <col min="19" max="22" width="14.5703125" bestFit="1" customWidth="1"/>
    <col min="23" max="25" width="15.5703125" bestFit="1" customWidth="1"/>
    <col min="26" max="26" width="18.28515625" bestFit="1" customWidth="1"/>
  </cols>
  <sheetData>
    <row r="2" spans="1:26" x14ac:dyDescent="0.25">
      <c r="J2" s="16" t="s">
        <v>6</v>
      </c>
      <c r="K2" s="16">
        <v>850000</v>
      </c>
    </row>
    <row r="4" spans="1:26" x14ac:dyDescent="0.25">
      <c r="A4" s="1"/>
      <c r="B4" s="7" t="s">
        <v>0</v>
      </c>
      <c r="C4" s="7" t="s">
        <v>1</v>
      </c>
      <c r="D4" s="7" t="s">
        <v>2</v>
      </c>
      <c r="F4" s="7" t="s">
        <v>4</v>
      </c>
      <c r="H4" s="2" t="s">
        <v>5</v>
      </c>
      <c r="J4" s="10" t="s">
        <v>7</v>
      </c>
      <c r="M4" s="11" t="s">
        <v>8</v>
      </c>
      <c r="N4" s="17" t="s">
        <v>10</v>
      </c>
      <c r="O4" s="17" t="s">
        <v>11</v>
      </c>
      <c r="P4" s="17" t="s">
        <v>12</v>
      </c>
      <c r="Q4" s="17" t="s">
        <v>13</v>
      </c>
      <c r="R4" s="10" t="s">
        <v>7</v>
      </c>
    </row>
    <row r="5" spans="1:26" x14ac:dyDescent="0.25">
      <c r="A5" s="2" t="s">
        <v>22</v>
      </c>
      <c r="B5" s="1">
        <v>80</v>
      </c>
      <c r="C5" s="1">
        <v>58</v>
      </c>
      <c r="D5" s="1">
        <v>77</v>
      </c>
      <c r="F5" s="8">
        <f>SUM(B5:D5)/COUNT(B5:D5)</f>
        <v>71.666666666666671</v>
      </c>
      <c r="H5" s="6">
        <f>MAX(F5:F7)</f>
        <v>73.333333333333329</v>
      </c>
      <c r="J5" s="9">
        <f xml:space="preserve"> $K$2 * (F5/100)</f>
        <v>609166.66666666663</v>
      </c>
      <c r="M5" s="13">
        <f>F5/4</f>
        <v>17.916666666666668</v>
      </c>
      <c r="N5" s="12">
        <f>$K$2 * ($M$5/100)</f>
        <v>152291.66666666666</v>
      </c>
      <c r="O5" s="12">
        <f>($K$2+N5) * ($M$5/100)</f>
        <v>179577.25694444444</v>
      </c>
      <c r="P5" s="12">
        <f>($K$2+N5+O5) * ($M$5/100)</f>
        <v>211751.51548032404</v>
      </c>
      <c r="Q5" s="12">
        <f>($K$2+N5+O5+P5) * ($M$5/100)</f>
        <v>249690.3286705488</v>
      </c>
      <c r="R5" s="9">
        <f>SUM(N5:Q5)</f>
        <v>793310.76776198391</v>
      </c>
    </row>
    <row r="6" spans="1:26" x14ac:dyDescent="0.25">
      <c r="A6" s="2" t="s">
        <v>23</v>
      </c>
      <c r="B6" s="1">
        <v>75</v>
      </c>
      <c r="C6" s="1">
        <v>65</v>
      </c>
      <c r="D6" s="1">
        <v>80</v>
      </c>
      <c r="F6" s="8">
        <f t="shared" ref="F6:F7" si="0">SUM(B6:D6)/COUNT(B6:D6)</f>
        <v>73.333333333333329</v>
      </c>
      <c r="J6" s="9">
        <f xml:space="preserve"> $K$2 * (F6/100)</f>
        <v>623333.33333333326</v>
      </c>
      <c r="M6" s="13">
        <f>F6/4</f>
        <v>18.333333333333332</v>
      </c>
      <c r="N6" s="12">
        <f>$K$2 * (M6/100)</f>
        <v>155833.33333333331</v>
      </c>
      <c r="O6" s="12">
        <f>($K$2+N6) * ($M6/100)</f>
        <v>184402.77777777775</v>
      </c>
      <c r="P6" s="12">
        <f>($K$2+N6+O6) * ($M6/100)</f>
        <v>218209.95370370368</v>
      </c>
      <c r="Q6" s="12">
        <f>($K$2+N6+O6+P6) * ($M6/100)</f>
        <v>258215.11188271598</v>
      </c>
      <c r="R6" s="9">
        <f>SUM(N6:Q6)</f>
        <v>816661.17669753067</v>
      </c>
    </row>
    <row r="7" spans="1:26" x14ac:dyDescent="0.25">
      <c r="A7" s="2" t="s">
        <v>24</v>
      </c>
      <c r="B7" s="1">
        <v>73</v>
      </c>
      <c r="C7" s="1">
        <v>45</v>
      </c>
      <c r="D7" s="1">
        <v>68</v>
      </c>
      <c r="F7" s="8">
        <f t="shared" si="0"/>
        <v>62</v>
      </c>
      <c r="J7" s="9">
        <f xml:space="preserve"> $K$2 * (F7/100)</f>
        <v>527000</v>
      </c>
      <c r="M7" s="13">
        <f>F7/4</f>
        <v>15.5</v>
      </c>
      <c r="N7" s="12">
        <f>$K$2 * (M7/100)</f>
        <v>131750</v>
      </c>
      <c r="O7" s="12">
        <f>($K$2+N7) * ($M7/100)</f>
        <v>152171.25</v>
      </c>
      <c r="P7" s="12">
        <f>($K$2+N7+O7) * ($M7/100)</f>
        <v>175757.79375000001</v>
      </c>
      <c r="Q7" s="12">
        <f>($K$2+N7+O7+P7) * ($M7/100)</f>
        <v>203000.25178125</v>
      </c>
      <c r="R7" s="9">
        <f>SUM(N7:Q7)</f>
        <v>662679.29553125007</v>
      </c>
    </row>
    <row r="8" spans="1:26" x14ac:dyDescent="0.25">
      <c r="A8" s="5"/>
      <c r="B8" s="5"/>
      <c r="C8" s="5"/>
      <c r="D8" s="5"/>
      <c r="M8" s="15"/>
    </row>
    <row r="9" spans="1:26" x14ac:dyDescent="0.25">
      <c r="C9" s="4" t="s">
        <v>3</v>
      </c>
    </row>
    <row r="10" spans="1:26" x14ac:dyDescent="0.25">
      <c r="C10" s="3">
        <f>K2</f>
        <v>850000</v>
      </c>
    </row>
    <row r="11" spans="1:26" x14ac:dyDescent="0.25">
      <c r="C11" s="3">
        <f>B5</f>
        <v>80</v>
      </c>
    </row>
    <row r="12" spans="1:26" x14ac:dyDescent="0.25">
      <c r="C12" s="3">
        <f>C5</f>
        <v>58</v>
      </c>
      <c r="M12" s="11" t="s">
        <v>9</v>
      </c>
      <c r="N12" s="17" t="s">
        <v>10</v>
      </c>
      <c r="O12" s="17" t="s">
        <v>11</v>
      </c>
      <c r="P12" s="17" t="s">
        <v>12</v>
      </c>
      <c r="Q12" s="17" t="s">
        <v>13</v>
      </c>
      <c r="R12" s="17" t="s">
        <v>14</v>
      </c>
      <c r="S12" s="17" t="s">
        <v>15</v>
      </c>
      <c r="T12" s="17" t="s">
        <v>16</v>
      </c>
      <c r="U12" s="17" t="s">
        <v>17</v>
      </c>
      <c r="V12" s="17" t="s">
        <v>18</v>
      </c>
      <c r="W12" s="17" t="s">
        <v>19</v>
      </c>
      <c r="X12" s="17" t="s">
        <v>20</v>
      </c>
      <c r="Y12" s="17" t="s">
        <v>21</v>
      </c>
      <c r="Z12" s="14" t="s">
        <v>7</v>
      </c>
    </row>
    <row r="13" spans="1:26" x14ac:dyDescent="0.25">
      <c r="C13" s="3">
        <f>D5</f>
        <v>77</v>
      </c>
      <c r="M13" s="13">
        <f>F5/12</f>
        <v>5.9722222222222223</v>
      </c>
      <c r="N13" s="6">
        <f>($K$2) * ($M13/100)</f>
        <v>50763.888888888891</v>
      </c>
      <c r="O13" s="6">
        <f>($K$2 + $N13) * ($M13/100)</f>
        <v>53795.621141975309</v>
      </c>
      <c r="P13" s="6">
        <f>($K$2 + $N13 + $O13) * ($M13/100)</f>
        <v>57008.415182398836</v>
      </c>
      <c r="Q13" s="6">
        <f>($K$2 + $N13 + $O13 + $P13) * ($M13/100)</f>
        <v>60413.084422458764</v>
      </c>
      <c r="R13" s="8">
        <f>(SUM( $N13:Q13) + $K$2)   * ($M13/100)</f>
        <v>64021.088075466723</v>
      </c>
      <c r="S13" s="8">
        <f>(SUM( $N13:R13) + $K$2)   * ($M13/100)</f>
        <v>67844.569724418208</v>
      </c>
      <c r="T13" s="8">
        <f>(SUM( $N13:S13) + $K$2)   * ($M13/100)</f>
        <v>71896.398194070964</v>
      </c>
      <c r="U13" s="8">
        <f>(SUM( $N13:T13) + $K$2)   * ($M13/100)</f>
        <v>76190.210863994653</v>
      </c>
      <c r="V13" s="8">
        <f>(SUM( $N13:U13) + $K$2)   * ($M13/100)</f>
        <v>80740.459568372098</v>
      </c>
      <c r="W13" s="8">
        <f>(SUM( $N13:V13) + $K$2)   * ($M13/100)</f>
        <v>85562.459237038769</v>
      </c>
      <c r="X13" s="8">
        <f>(SUM( $N13:W13) + $K$2)   * ($M13/100)</f>
        <v>90672.439441473034</v>
      </c>
      <c r="Y13" s="8">
        <f>(SUM( $N13:X13) + $K$2)   * ($M13/100)</f>
        <v>96087.599019227666</v>
      </c>
      <c r="Z13" s="9">
        <f>SUM(N13:Y13)</f>
        <v>854996.23375978391</v>
      </c>
    </row>
    <row r="14" spans="1:26" x14ac:dyDescent="0.25">
      <c r="C14" s="3">
        <f>B6</f>
        <v>75</v>
      </c>
      <c r="M14" s="13">
        <f>F6/12</f>
        <v>6.1111111111111107</v>
      </c>
      <c r="N14" s="6">
        <f>($K$2) * ($M14/100)</f>
        <v>51944.444444444445</v>
      </c>
      <c r="O14" s="6">
        <f>($K$2 + $N14) * ($M14/100)</f>
        <v>55118.827160493827</v>
      </c>
      <c r="P14" s="6">
        <f>($K$2 + $N14 + $O14) * ($M14/100)</f>
        <v>58487.199931412892</v>
      </c>
      <c r="Q14" s="6">
        <f>($K$2 + $N14 + $O14 + $P14) * ($M14/100)</f>
        <v>62061.417704999243</v>
      </c>
      <c r="R14" s="8">
        <f>(SUM( $N14:Q14) + $K$2)   * ($M14/100)</f>
        <v>65854.059898082516</v>
      </c>
      <c r="S14" s="8">
        <f>(SUM( $N14:R14) + $K$2)   * ($M14/100)</f>
        <v>69878.474669632007</v>
      </c>
      <c r="T14" s="8">
        <f>(SUM( $N14:S14) + $K$2)   * ($M14/100)</f>
        <v>74148.825899442862</v>
      </c>
      <c r="U14" s="8">
        <f>(SUM( $N14:T14) + $K$2)   * ($M14/100)</f>
        <v>78680.143037742135</v>
      </c>
      <c r="V14" s="8">
        <f>(SUM( $N14:U14) + $K$2)   * ($M14/100)</f>
        <v>83488.374001159711</v>
      </c>
      <c r="W14" s="8">
        <f>(SUM( $N14:V14) + $K$2)   * ($M14/100)</f>
        <v>88590.441301230574</v>
      </c>
      <c r="X14" s="8">
        <f>(SUM( $N14:W14) + $K$2)   * ($M14/100)</f>
        <v>94004.301602972453</v>
      </c>
      <c r="Y14" s="8">
        <f>(SUM( $N14:X14) + $K$2)   * ($M14/100)</f>
        <v>99749.008923154091</v>
      </c>
      <c r="Z14" s="9">
        <f t="shared" ref="Z14:Z15" si="1">SUM(N14:Y14)</f>
        <v>882005.5185747667</v>
      </c>
    </row>
    <row r="15" spans="1:26" x14ac:dyDescent="0.25">
      <c r="C15" s="3">
        <f>C6</f>
        <v>65</v>
      </c>
      <c r="M15" s="13">
        <f>F7/12</f>
        <v>5.166666666666667</v>
      </c>
      <c r="N15" s="6">
        <f>($K$2) * ($M15/100)</f>
        <v>43916.666666666664</v>
      </c>
      <c r="O15" s="6">
        <f>($K$2 + $N15) * ($M15/100)</f>
        <v>46185.694444444445</v>
      </c>
      <c r="P15" s="6">
        <f>($K$2 + $N15 + $O15) * ($M15/100)</f>
        <v>48571.955324074072</v>
      </c>
      <c r="Q15" s="6">
        <f>($K$2 + $N15 + $O15 + $P15) * ($M15/100)</f>
        <v>51081.506349151234</v>
      </c>
      <c r="R15" s="8">
        <f>(SUM( $N15:Q15) + $K$2)   * ($M15/100)</f>
        <v>53720.717510524046</v>
      </c>
      <c r="S15" s="8">
        <f>(SUM( $N15:R15) + $K$2)   * ($M15/100)</f>
        <v>56496.287915234461</v>
      </c>
      <c r="T15" s="8">
        <f>(SUM( $N15:S15) + $K$2)   * ($M15/100)</f>
        <v>59415.262790854904</v>
      </c>
      <c r="U15" s="8">
        <f>(SUM( $N15:T15) + $K$2)   * ($M15/100)</f>
        <v>62485.051368382403</v>
      </c>
      <c r="V15" s="8">
        <f>(SUM( $N15:U15) + $K$2)   * ($M15/100)</f>
        <v>65713.44568908216</v>
      </c>
      <c r="W15" s="8">
        <f>(SUM( $N15:V15) + $K$2)   * ($M15/100)</f>
        <v>69108.640383018079</v>
      </c>
      <c r="X15" s="8">
        <f>(SUM( $N15:W15) + $K$2)   * ($M15/100)</f>
        <v>72679.253469474017</v>
      </c>
      <c r="Y15" s="8">
        <f>(SUM( $N15:X15) + $K$2)   * ($M15/100)</f>
        <v>76434.348232063508</v>
      </c>
      <c r="Z15" s="9">
        <f t="shared" si="1"/>
        <v>705808.83014296996</v>
      </c>
    </row>
    <row r="16" spans="1:26" x14ac:dyDescent="0.25">
      <c r="C16" s="3">
        <f>D6</f>
        <v>80</v>
      </c>
    </row>
    <row r="17" spans="3:3" x14ac:dyDescent="0.25">
      <c r="C17" s="3">
        <f>B7</f>
        <v>73</v>
      </c>
    </row>
    <row r="18" spans="3:3" x14ac:dyDescent="0.25">
      <c r="C18" s="3">
        <f>C7</f>
        <v>45</v>
      </c>
    </row>
    <row r="19" spans="3:3" x14ac:dyDescent="0.25">
      <c r="C19" s="3">
        <f>D7</f>
        <v>68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2025-11-06T00:01:45Z</dcterms:modified>
</cp:coreProperties>
</file>